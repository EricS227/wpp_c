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ke\Documents\"/>
    </mc:Choice>
  </mc:AlternateContent>
  <xr:revisionPtr revIDLastSave="0" documentId="8_{9A15057C-F47D-4DB7-A137-C8305CCE3619}" xr6:coauthVersionLast="47" xr6:coauthVersionMax="47" xr10:uidLastSave="{00000000-0000-0000-0000-000000000000}"/>
  <bookViews>
    <workbookView xWindow="28680" yWindow="-135" windowWidth="29040" windowHeight="15720" activeTab="1" xr2:uid="{B0D7E341-27E5-4932-B619-53EFA6EFDB1D}"/>
  </bookViews>
  <sheets>
    <sheet name="Planilha1 (2)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J4" i="2"/>
  <c r="J6" i="1"/>
  <c r="J4" i="1"/>
</calcChain>
</file>

<file path=xl/sharedStrings.xml><?xml version="1.0" encoding="utf-8"?>
<sst xmlns="http://schemas.openxmlformats.org/spreadsheetml/2006/main" count="70" uniqueCount="26">
  <si>
    <t>Tabela de gastos e entradas</t>
  </si>
  <si>
    <t>Conta</t>
  </si>
  <si>
    <t>Água</t>
  </si>
  <si>
    <t>Energia</t>
  </si>
  <si>
    <t>Telefone</t>
  </si>
  <si>
    <t>Saúde</t>
  </si>
  <si>
    <t>Aluguel</t>
  </si>
  <si>
    <t>Escola</t>
  </si>
  <si>
    <t>Combustível</t>
  </si>
  <si>
    <t>Mercado</t>
  </si>
  <si>
    <t>Valor</t>
  </si>
  <si>
    <t>Data</t>
  </si>
  <si>
    <t>Situação</t>
  </si>
  <si>
    <t>Pago</t>
  </si>
  <si>
    <t>Aguardando</t>
  </si>
  <si>
    <t>9/092025</t>
  </si>
  <si>
    <t>Morte</t>
  </si>
  <si>
    <t>Entrada</t>
  </si>
  <si>
    <t>Salario</t>
  </si>
  <si>
    <t>Renda Extra</t>
  </si>
  <si>
    <t>Total/Saidas</t>
  </si>
  <si>
    <t>Entradas</t>
  </si>
  <si>
    <t>Saldo</t>
  </si>
  <si>
    <t>Coluna1</t>
  </si>
  <si>
    <t>Coluna2</t>
  </si>
  <si>
    <t>Coluna3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</si>
</sst>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39997558519241921"/>
        <bgColor theme="6"/>
      </patternFill>
    </fill>
    <fill>
      <patternFill patternType="solid">
        <fgColor theme="4" tint="0.79998168889431442"/>
        <bgColor theme="6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6"/>
      </patternFill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14" fontId="0" fillId="0" borderId="0" xfId="0" applyNumberFormat="1"/>
    <xf numFmtId="0" fontId="2" fillId="3" borderId="1" xfId="0" applyFont="1" applyFill="1" applyBorder="1"/>
    <xf numFmtId="0" fontId="3" fillId="2" borderId="0" xfId="0" applyFont="1" applyFill="1"/>
    <xf numFmtId="44" fontId="0" fillId="0" borderId="0" xfId="1" applyFont="1"/>
    <xf numFmtId="44" fontId="0" fillId="4" borderId="2" xfId="1" applyNumberFormat="1" applyFont="1" applyFill="1" applyBorder="1"/>
    <xf numFmtId="0" fontId="2" fillId="5" borderId="1" xfId="0" applyFont="1" applyFill="1" applyBorder="1"/>
    <xf numFmtId="44" fontId="0" fillId="6" borderId="2" xfId="1" applyNumberFormat="1" applyFont="1" applyFill="1" applyBorder="1"/>
    <xf numFmtId="14" fontId="0" fillId="6" borderId="2" xfId="1" applyNumberFormat="1" applyFont="1" applyFill="1" applyBorder="1"/>
    <xf numFmtId="0" fontId="0" fillId="7" borderId="0" xfId="0" applyFill="1"/>
    <xf numFmtId="44" fontId="0" fillId="8" borderId="0" xfId="0" applyNumberFormat="1" applyFill="1"/>
    <xf numFmtId="0" fontId="2" fillId="9" borderId="1" xfId="0" applyFont="1" applyFill="1" applyBorder="1"/>
  </cellXfs>
  <cellStyles count="2">
    <cellStyle name="Moeda" xfId="1" builtinId="4"/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Planilha1!$H$4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numRef>
              <c:f>Planilha1!$I$3:$J$3</c:f>
              <c:numCache>
                <c:formatCode>General</c:formatCode>
                <c:ptCount val="2"/>
              </c:numCache>
            </c:numRef>
          </c:cat>
          <c:val>
            <c:numRef>
              <c:f>Planilha1!$I$4:$J$4</c:f>
              <c:numCache>
                <c:formatCode>_("$"* #,##0.00_);_("$"* \(#,##0.00\);_("$"* "-"??_);_(@_)</c:formatCode>
                <c:ptCount val="2"/>
                <c:pt idx="0" formatCode="General">
                  <c:v>0</c:v>
                </c:pt>
                <c:pt idx="1">
                  <c:v>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4-4A16-B804-8BEB702415F2}"/>
            </c:ext>
          </c:extLst>
        </c:ser>
        <c:ser>
          <c:idx val="1"/>
          <c:order val="1"/>
          <c:tx>
            <c:strRef>
              <c:f>Planilha1!$H$5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numRef>
              <c:f>Planilha1!$I$3:$J$3</c:f>
              <c:numCache>
                <c:formatCode>General</c:formatCode>
                <c:ptCount val="2"/>
              </c:numCache>
            </c:numRef>
          </c:cat>
          <c:val>
            <c:numRef>
              <c:f>Planilha1!$I$5:$J$5</c:f>
              <c:numCache>
                <c:formatCode>_("$"* #,##0.00_);_("$"* \(#,##0.00\);_("$"* "-"??_);_(@_)</c:formatCode>
                <c:ptCount val="2"/>
                <c:pt idx="0" formatCode="General">
                  <c:v>0</c:v>
                </c:pt>
                <c:pt idx="1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54-4A16-B804-8BEB70241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40816"/>
        <c:axId val="204741296"/>
      </c:barChart>
      <c:catAx>
        <c:axId val="20474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1296"/>
        <c:crosses val="autoZero"/>
        <c:auto val="1"/>
        <c:lblAlgn val="ctr"/>
        <c:lblOffset val="100"/>
        <c:noMultiLvlLbl val="0"/>
      </c:catAx>
      <c:valAx>
        <c:axId val="20474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Planilha1!$I$4:$I$5</c:f>
              <c:strCache>
                <c:ptCount val="2"/>
                <c:pt idx="0">
                  <c:v>Total/Saidas</c:v>
                </c:pt>
                <c:pt idx="1">
                  <c:v>Entradas</c:v>
                </c:pt>
              </c:strCache>
            </c:strRef>
          </c:cat>
          <c:val>
            <c:numRef>
              <c:f>Planilha1!$J$4:$J$5</c:f>
              <c:numCache>
                <c:formatCode>_("$"* #,##0.00_);_("$"* \(#,##0.00\);_("$"* "-"??_);_(@_)</c:formatCode>
                <c:ptCount val="2"/>
                <c:pt idx="0">
                  <c:v>2649</c:v>
                </c:pt>
                <c:pt idx="1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9-4F92-9A7A-6B1254E0C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604176"/>
        <c:axId val="1564603696"/>
      </c:barChart>
      <c:catAx>
        <c:axId val="156460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603696"/>
        <c:crosses val="autoZero"/>
        <c:auto val="1"/>
        <c:lblAlgn val="ctr"/>
        <c:lblOffset val="100"/>
        <c:noMultiLvlLbl val="0"/>
      </c:catAx>
      <c:valAx>
        <c:axId val="156460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60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11</xdr:row>
      <xdr:rowOff>52387</xdr:rowOff>
    </xdr:from>
    <xdr:to>
      <xdr:col>14</xdr:col>
      <xdr:colOff>161925</xdr:colOff>
      <xdr:row>25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C3C80A-96FC-BF75-61CA-5D98CDB22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11</xdr:row>
      <xdr:rowOff>52387</xdr:rowOff>
    </xdr:from>
    <xdr:to>
      <xdr:col>14</xdr:col>
      <xdr:colOff>161925</xdr:colOff>
      <xdr:row>25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2B8BD5-ACEC-0EF7-C418-7C4260698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457200</xdr:colOff>
      <xdr:row>11</xdr:row>
      <xdr:rowOff>52387</xdr:rowOff>
    </xdr:from>
    <xdr:to>
      <xdr:col>14</xdr:col>
      <xdr:colOff>161925</xdr:colOff>
      <xdr:row>25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BF3ED4-3AF0-78B9-20E6-5A116E912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CAC381-7014-448E-BAD4-439AB20E9E55}" name="Tabela14" displayName="Tabela14" ref="B3:E13" totalsRowShown="0">
  <autoFilter ref="B3:E13" xr:uid="{D2BCA25D-4F1D-40EE-B4FC-F9F4C6ACC4A9}"/>
  <tableColumns count="4">
    <tableColumn id="1" xr3:uid="{050455D1-3E65-4D93-ACAC-23F79D488BB0}" name="Conta"/>
    <tableColumn id="2" xr3:uid="{626ECE76-98E4-4513-A75C-D23215811B11}" name="Valor"/>
    <tableColumn id="3" xr3:uid="{93D89FAD-9DA2-431E-8C2B-76DF540F6284}" name="Data" dataDxfId="0"/>
    <tableColumn id="4" xr3:uid="{3544895A-8918-48E3-864A-AE5C194224F7}" name="Situaçã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BF6407-B4E3-47DF-988E-033462BEB84F}" name="Tabela25" displayName="Tabela25" ref="L3:N7" totalsRowShown="0">
  <autoFilter ref="L3:N7" xr:uid="{9C660332-F89D-45A2-B75A-3821645D8A12}"/>
  <tableColumns count="3">
    <tableColumn id="1" xr3:uid="{EC44C5E4-0BA4-4FFC-AC81-4BF137ADEECD}" name="Coluna1"/>
    <tableColumn id="2" xr3:uid="{17F15B77-19FD-4DE3-8948-5CC6295A2A4F}" name="Coluna2"/>
    <tableColumn id="3" xr3:uid="{218B6269-0302-45F0-A5CB-FBF5CF8CEB53}" name="Coluna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CA25D-4F1D-40EE-B4FC-F9F4C6ACC4A9}" name="Tabela1" displayName="Tabela1" ref="B3:E13" totalsRowShown="0">
  <autoFilter ref="B3:E13" xr:uid="{D2BCA25D-4F1D-40EE-B4FC-F9F4C6ACC4A9}"/>
  <tableColumns count="4">
    <tableColumn id="1" xr3:uid="{96301F40-37F1-4A80-A67C-03A100EE32F4}" name="Conta"/>
    <tableColumn id="2" xr3:uid="{832678AB-C007-4146-990E-05A0D774B6DB}" name="Valor"/>
    <tableColumn id="3" xr3:uid="{67F26278-663A-4B7F-8DE9-CABF8BAD1E93}" name="Data" dataDxfId="1"/>
    <tableColumn id="4" xr3:uid="{C39A2ED1-C20B-4917-A12D-C1722E0AED7D}" name="Situação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660332-F89D-45A2-B75A-3821645D8A12}" name="Tabela2" displayName="Tabela2" ref="L3:N7" totalsRowShown="0">
  <autoFilter ref="L3:N7" xr:uid="{9C660332-F89D-45A2-B75A-3821645D8A12}"/>
  <tableColumns count="3">
    <tableColumn id="1" xr3:uid="{9A25B64D-E39F-4688-B162-5C8280510824}" name="Coluna1"/>
    <tableColumn id="2" xr3:uid="{F16DC580-F075-4173-A8F5-5B96ED758C50}" name="Coluna2"/>
    <tableColumn id="3" xr3:uid="{7A16CB71-1977-4B08-B3F1-67848857F4DF}" name="Coluna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71A4-2ABF-4ED5-9E07-AFB9B6E613DB}">
  <dimension ref="A1:N13"/>
  <sheetViews>
    <sheetView showGridLines="0" workbookViewId="0">
      <selection activeCell="M3" sqref="M3"/>
    </sheetView>
  </sheetViews>
  <sheetFormatPr defaultRowHeight="15" x14ac:dyDescent="0.25"/>
  <cols>
    <col min="1" max="1" width="11" customWidth="1"/>
    <col min="2" max="2" width="8.28515625" customWidth="1"/>
    <col min="3" max="3" width="16.7109375" customWidth="1"/>
    <col min="4" max="4" width="13.7109375" customWidth="1"/>
    <col min="5" max="5" width="15.42578125" customWidth="1"/>
    <col min="9" max="9" width="16.140625" customWidth="1"/>
    <col min="10" max="10" width="11.28515625" bestFit="1" customWidth="1"/>
    <col min="12" max="12" width="14.42578125" customWidth="1"/>
    <col min="13" max="13" width="11.5703125" bestFit="1" customWidth="1"/>
    <col min="14" max="14" width="10.42578125" customWidth="1"/>
  </cols>
  <sheetData>
    <row r="1" spans="1:14" s="1" customFormat="1" x14ac:dyDescent="0.25">
      <c r="A1" s="4" t="s">
        <v>0</v>
      </c>
    </row>
    <row r="3" spans="1:14" x14ac:dyDescent="0.25">
      <c r="B3" t="s">
        <v>1</v>
      </c>
      <c r="C3" s="5" t="s">
        <v>10</v>
      </c>
      <c r="D3" t="s">
        <v>11</v>
      </c>
      <c r="E3" t="s">
        <v>12</v>
      </c>
      <c r="L3" t="s">
        <v>23</v>
      </c>
      <c r="M3" t="s">
        <v>24</v>
      </c>
      <c r="N3" t="s">
        <v>25</v>
      </c>
    </row>
    <row r="4" spans="1:14" x14ac:dyDescent="0.25">
      <c r="B4" t="s">
        <v>2</v>
      </c>
      <c r="C4" s="5">
        <v>120</v>
      </c>
      <c r="D4" s="2">
        <v>45909</v>
      </c>
      <c r="E4" t="s">
        <v>13</v>
      </c>
      <c r="I4" s="3" t="s">
        <v>20</v>
      </c>
      <c r="J4" s="6">
        <f>SUM(C4:C12)</f>
        <v>2649</v>
      </c>
      <c r="K4" s="12"/>
      <c r="L4" s="7" t="s">
        <v>17</v>
      </c>
      <c r="M4" s="7" t="s">
        <v>10</v>
      </c>
      <c r="N4" s="7" t="s">
        <v>11</v>
      </c>
    </row>
    <row r="5" spans="1:14" x14ac:dyDescent="0.25">
      <c r="B5" t="s">
        <v>3</v>
      </c>
      <c r="C5" s="5">
        <v>180</v>
      </c>
      <c r="D5" t="s">
        <v>15</v>
      </c>
      <c r="E5" t="s">
        <v>13</v>
      </c>
      <c r="I5" s="7" t="s">
        <v>21</v>
      </c>
      <c r="J5" s="8">
        <v>7000</v>
      </c>
      <c r="L5" s="8" t="s">
        <v>18</v>
      </c>
      <c r="M5" s="8">
        <v>6000</v>
      </c>
      <c r="N5" s="9">
        <v>45817</v>
      </c>
    </row>
    <row r="6" spans="1:14" x14ac:dyDescent="0.25">
      <c r="B6" t="s">
        <v>4</v>
      </c>
      <c r="C6" s="5">
        <v>245</v>
      </c>
      <c r="D6" s="2">
        <v>45909</v>
      </c>
      <c r="E6" t="s">
        <v>13</v>
      </c>
      <c r="I6" s="10" t="s">
        <v>22</v>
      </c>
      <c r="J6" s="11">
        <f>J4-J5</f>
        <v>-4351</v>
      </c>
      <c r="L6" t="s">
        <v>19</v>
      </c>
      <c r="M6" s="5">
        <v>2000</v>
      </c>
      <c r="N6" s="2">
        <v>45847</v>
      </c>
    </row>
    <row r="7" spans="1:14" x14ac:dyDescent="0.25">
      <c r="B7" t="s">
        <v>5</v>
      </c>
      <c r="C7" s="5">
        <v>250</v>
      </c>
      <c r="D7" s="2">
        <v>45909</v>
      </c>
      <c r="E7" t="s">
        <v>13</v>
      </c>
    </row>
    <row r="8" spans="1:14" x14ac:dyDescent="0.25">
      <c r="B8" t="s">
        <v>6</v>
      </c>
      <c r="C8" s="5">
        <v>111</v>
      </c>
      <c r="D8" s="2">
        <v>45909</v>
      </c>
      <c r="E8" t="s">
        <v>13</v>
      </c>
    </row>
    <row r="9" spans="1:14" x14ac:dyDescent="0.25">
      <c r="B9" t="s">
        <v>7</v>
      </c>
      <c r="C9" s="5">
        <v>556</v>
      </c>
      <c r="D9" s="2">
        <v>45909</v>
      </c>
      <c r="E9" t="s">
        <v>14</v>
      </c>
    </row>
    <row r="10" spans="1:14" x14ac:dyDescent="0.25">
      <c r="B10" t="s">
        <v>8</v>
      </c>
      <c r="C10" s="5">
        <v>144</v>
      </c>
      <c r="D10" s="2">
        <v>45909</v>
      </c>
      <c r="E10" t="s">
        <v>13</v>
      </c>
    </row>
    <row r="11" spans="1:14" x14ac:dyDescent="0.25">
      <c r="B11" t="s">
        <v>9</v>
      </c>
      <c r="C11" s="5">
        <v>266</v>
      </c>
      <c r="D11" s="2">
        <v>45909</v>
      </c>
      <c r="E11" t="s">
        <v>13</v>
      </c>
    </row>
    <row r="12" spans="1:14" x14ac:dyDescent="0.25">
      <c r="B12" t="s">
        <v>16</v>
      </c>
      <c r="C12" s="5">
        <v>777</v>
      </c>
      <c r="D12" s="2">
        <v>45909</v>
      </c>
      <c r="E12" t="s">
        <v>14</v>
      </c>
    </row>
    <row r="13" spans="1:14" x14ac:dyDescent="0.25">
      <c r="D13" s="2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A8B6-1D34-4E21-9CC3-AC0820ABC005}">
  <dimension ref="A1:N13"/>
  <sheetViews>
    <sheetView showGridLines="0" tabSelected="1" workbookViewId="0">
      <selection activeCell="I4" sqref="I4:J5"/>
    </sheetView>
  </sheetViews>
  <sheetFormatPr defaultRowHeight="15" x14ac:dyDescent="0.25"/>
  <cols>
    <col min="1" max="1" width="11" customWidth="1"/>
    <col min="2" max="2" width="8.28515625" customWidth="1"/>
    <col min="3" max="3" width="16.7109375" customWidth="1"/>
    <col min="4" max="4" width="13.7109375" customWidth="1"/>
    <col min="5" max="5" width="15.42578125" customWidth="1"/>
    <col min="9" max="9" width="16.140625" customWidth="1"/>
    <col min="10" max="10" width="11.28515625" bestFit="1" customWidth="1"/>
    <col min="12" max="12" width="14.42578125" customWidth="1"/>
    <col min="13" max="13" width="11.5703125" bestFit="1" customWidth="1"/>
    <col min="14" max="14" width="10.42578125" customWidth="1"/>
  </cols>
  <sheetData>
    <row r="1" spans="1:14" s="1" customFormat="1" x14ac:dyDescent="0.25">
      <c r="A1" s="4" t="s">
        <v>0</v>
      </c>
    </row>
    <row r="3" spans="1:14" x14ac:dyDescent="0.25">
      <c r="B3" t="s">
        <v>1</v>
      </c>
      <c r="C3" s="5" t="s">
        <v>10</v>
      </c>
      <c r="D3" t="s">
        <v>11</v>
      </c>
      <c r="E3" t="s">
        <v>12</v>
      </c>
      <c r="L3" t="s">
        <v>23</v>
      </c>
      <c r="M3" t="s">
        <v>24</v>
      </c>
      <c r="N3" t="s">
        <v>25</v>
      </c>
    </row>
    <row r="4" spans="1:14" x14ac:dyDescent="0.25">
      <c r="B4" t="s">
        <v>2</v>
      </c>
      <c r="C4" s="5">
        <v>120</v>
      </c>
      <c r="D4" s="2">
        <v>45909</v>
      </c>
      <c r="E4" t="s">
        <v>13</v>
      </c>
      <c r="I4" s="3" t="s">
        <v>20</v>
      </c>
      <c r="J4" s="6">
        <f>SUM(C4:C12)</f>
        <v>2649</v>
      </c>
      <c r="K4" s="12"/>
      <c r="L4" s="7" t="s">
        <v>17</v>
      </c>
      <c r="M4" s="7" t="s">
        <v>10</v>
      </c>
      <c r="N4" s="7" t="s">
        <v>11</v>
      </c>
    </row>
    <row r="5" spans="1:14" x14ac:dyDescent="0.25">
      <c r="B5" t="s">
        <v>3</v>
      </c>
      <c r="C5" s="5">
        <v>180</v>
      </c>
      <c r="D5" t="s">
        <v>15</v>
      </c>
      <c r="E5" t="s">
        <v>13</v>
      </c>
      <c r="I5" s="7" t="s">
        <v>21</v>
      </c>
      <c r="J5" s="8">
        <v>7000</v>
      </c>
      <c r="L5" s="8" t="s">
        <v>18</v>
      </c>
      <c r="M5" s="8">
        <v>6000</v>
      </c>
      <c r="N5" s="9">
        <v>45817</v>
      </c>
    </row>
    <row r="6" spans="1:14" x14ac:dyDescent="0.25">
      <c r="B6" t="s">
        <v>4</v>
      </c>
      <c r="C6" s="5">
        <v>245</v>
      </c>
      <c r="D6" s="2">
        <v>45909</v>
      </c>
      <c r="E6" t="s">
        <v>13</v>
      </c>
      <c r="I6" s="10" t="s">
        <v>22</v>
      </c>
      <c r="J6" s="11">
        <f>J4-J5</f>
        <v>-4351</v>
      </c>
      <c r="L6" t="s">
        <v>19</v>
      </c>
      <c r="M6" s="5">
        <v>2000</v>
      </c>
      <c r="N6" s="2">
        <v>45847</v>
      </c>
    </row>
    <row r="7" spans="1:14" x14ac:dyDescent="0.25">
      <c r="B7" t="s">
        <v>5</v>
      </c>
      <c r="C7" s="5">
        <v>250</v>
      </c>
      <c r="D7" s="2">
        <v>45909</v>
      </c>
      <c r="E7" t="s">
        <v>13</v>
      </c>
    </row>
    <row r="8" spans="1:14" x14ac:dyDescent="0.25">
      <c r="B8" t="s">
        <v>6</v>
      </c>
      <c r="C8" s="5">
        <v>111</v>
      </c>
      <c r="D8" s="2">
        <v>45909</v>
      </c>
      <c r="E8" t="s">
        <v>13</v>
      </c>
    </row>
    <row r="9" spans="1:14" x14ac:dyDescent="0.25">
      <c r="B9" t="s">
        <v>7</v>
      </c>
      <c r="C9" s="5">
        <v>556</v>
      </c>
      <c r="D9" s="2">
        <v>45909</v>
      </c>
      <c r="E9" t="s">
        <v>14</v>
      </c>
    </row>
    <row r="10" spans="1:14" x14ac:dyDescent="0.25">
      <c r="B10" t="s">
        <v>8</v>
      </c>
      <c r="C10" s="5">
        <v>144</v>
      </c>
      <c r="D10" s="2">
        <v>45909</v>
      </c>
      <c r="E10" t="s">
        <v>13</v>
      </c>
    </row>
    <row r="11" spans="1:14" x14ac:dyDescent="0.25">
      <c r="B11" t="s">
        <v>9</v>
      </c>
      <c r="C11" s="5">
        <v>266</v>
      </c>
      <c r="D11" s="2">
        <v>45909</v>
      </c>
      <c r="E11" t="s">
        <v>13</v>
      </c>
    </row>
    <row r="12" spans="1:14" x14ac:dyDescent="0.25">
      <c r="B12" t="s">
        <v>16</v>
      </c>
      <c r="C12" s="5">
        <v>777</v>
      </c>
      <c r="D12" s="2">
        <v>45909</v>
      </c>
      <c r="E12" t="s">
        <v>14</v>
      </c>
    </row>
    <row r="13" spans="1:14" x14ac:dyDescent="0.25">
      <c r="D13" s="2"/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 (2)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Simoes Pinto</dc:creator>
  <cp:lastModifiedBy>Eric Simoes Pinto</cp:lastModifiedBy>
  <dcterms:created xsi:type="dcterms:W3CDTF">2025-05-07T02:13:15Z</dcterms:created>
  <dcterms:modified xsi:type="dcterms:W3CDTF">2025-05-07T02:35:55Z</dcterms:modified>
</cp:coreProperties>
</file>